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Ventas" sheetId="1" state="visible" r:id="rId1"/>
    <sheet xmlns:r="http://schemas.openxmlformats.org/officeDocument/2006/relationships" name="Explicacion_Ejerci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L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0" fontId="3" fillId="2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8" customWidth="1" min="4" max="4"/>
    <col width="16" customWidth="1" min="5" max="5"/>
    <col width="15" customWidth="1" min="6" max="6"/>
    <col width="22" customWidth="1" min="7" max="7"/>
    <col width="12" customWidth="1" min="8" max="8"/>
    <col width="23" customWidth="1" min="9" max="9"/>
    <col width="19" customWidth="1" min="10" max="10"/>
  </cols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Zona</t>
        </is>
      </c>
      <c r="D1" s="1" t="inlineStr">
        <is>
          <t>Ciudad</t>
        </is>
      </c>
      <c r="E1" s="1" t="inlineStr">
        <is>
          <t>Vendedor</t>
        </is>
      </c>
      <c r="F1" s="1" t="inlineStr">
        <is>
          <t>Categoria</t>
        </is>
      </c>
      <c r="G1" s="1" t="inlineStr">
        <is>
          <t>Producto</t>
        </is>
      </c>
      <c r="H1" s="1" t="inlineStr">
        <is>
          <t>Unidades</t>
        </is>
      </c>
      <c r="I1" s="1" t="inlineStr">
        <is>
          <t>Precio_Unitario_HNL</t>
        </is>
      </c>
      <c r="J1" s="1" t="inlineStr">
        <is>
          <t>Total_Venta_HNL</t>
        </is>
      </c>
    </row>
    <row r="2">
      <c r="A2" s="2" t="inlineStr">
        <is>
          <t>V-1001</t>
        </is>
      </c>
      <c r="B2" s="3" t="inlineStr">
        <is>
          <t>2026-01-05</t>
        </is>
      </c>
      <c r="C2" s="4" t="inlineStr">
        <is>
          <t>Noroccidental</t>
        </is>
      </c>
      <c r="D2" s="4" t="inlineStr">
        <is>
          <t>San Pedro Sula</t>
        </is>
      </c>
      <c r="E2" s="4" t="inlineStr">
        <is>
          <t>Carlos Meza</t>
        </is>
      </c>
      <c r="F2" s="4" t="inlineStr">
        <is>
          <t>Software</t>
        </is>
      </c>
      <c r="G2" s="4" t="inlineStr">
        <is>
          <t>Licencia ERP 360</t>
        </is>
      </c>
      <c r="H2" s="5" t="n">
        <v>2</v>
      </c>
      <c r="I2" s="6" t="n">
        <v>15000</v>
      </c>
      <c r="J2" s="6">
        <f>H2*I2</f>
        <v/>
      </c>
    </row>
    <row r="3">
      <c r="A3" s="7" t="inlineStr">
        <is>
          <t>V-1002</t>
        </is>
      </c>
      <c r="B3" s="8" t="inlineStr">
        <is>
          <t>2026-01-12</t>
        </is>
      </c>
      <c r="C3" s="9" t="inlineStr">
        <is>
          <t>Central</t>
        </is>
      </c>
      <c r="D3" s="9" t="inlineStr">
        <is>
          <t>Tegucigalpa</t>
        </is>
      </c>
      <c r="E3" s="9" t="inlineStr">
        <is>
          <t>Ana Pineda</t>
        </is>
      </c>
      <c r="F3" s="9" t="inlineStr">
        <is>
          <t>Hardware</t>
        </is>
      </c>
      <c r="G3" s="9" t="inlineStr">
        <is>
          <t>Laptop Empresarial</t>
        </is>
      </c>
      <c r="H3" s="10" t="n">
        <v>5</v>
      </c>
      <c r="I3" s="11" t="n">
        <v>22500</v>
      </c>
      <c r="J3" s="11">
        <f>H3*I3</f>
        <v/>
      </c>
    </row>
    <row r="4">
      <c r="A4" s="2" t="inlineStr">
        <is>
          <t>V-1003</t>
        </is>
      </c>
      <c r="B4" s="3" t="inlineStr">
        <is>
          <t>2026-01-18</t>
        </is>
      </c>
      <c r="C4" s="4" t="inlineStr">
        <is>
          <t>Litoral</t>
        </is>
      </c>
      <c r="D4" s="4" t="inlineStr">
        <is>
          <t>La Ceiba</t>
        </is>
      </c>
      <c r="E4" s="4" t="inlineStr">
        <is>
          <t>Mario Duarte</t>
        </is>
      </c>
      <c r="F4" s="4" t="inlineStr">
        <is>
          <t>Consumibles</t>
        </is>
      </c>
      <c r="G4" s="4" t="inlineStr">
        <is>
          <t>Toner Láser B/W</t>
        </is>
      </c>
      <c r="H4" s="5" t="n">
        <v>10</v>
      </c>
      <c r="I4" s="6" t="n">
        <v>1800</v>
      </c>
      <c r="J4" s="6">
        <f>H4*I4</f>
        <v/>
      </c>
    </row>
    <row r="5">
      <c r="A5" s="7" t="inlineStr">
        <is>
          <t>V-1004</t>
        </is>
      </c>
      <c r="B5" s="8" t="inlineStr">
        <is>
          <t>2026-01-22</t>
        </is>
      </c>
      <c r="C5" s="9" t="inlineStr">
        <is>
          <t>Sur</t>
        </is>
      </c>
      <c r="D5" s="9" t="inlineStr">
        <is>
          <t>Choluteca</t>
        </is>
      </c>
      <c r="E5" s="9" t="inlineStr">
        <is>
          <t>Sofía Reyes</t>
        </is>
      </c>
      <c r="F5" s="9" t="inlineStr">
        <is>
          <t>Software</t>
        </is>
      </c>
      <c r="G5" s="9" t="inlineStr">
        <is>
          <t>Módulo POS Cloud</t>
        </is>
      </c>
      <c r="H5" s="10" t="n">
        <v>1</v>
      </c>
      <c r="I5" s="11" t="n">
        <v>8500</v>
      </c>
      <c r="J5" s="11">
        <f>H5*I5</f>
        <v/>
      </c>
    </row>
    <row r="6">
      <c r="A6" s="2" t="inlineStr">
        <is>
          <t>V-1005</t>
        </is>
      </c>
      <c r="B6" s="3" t="inlineStr">
        <is>
          <t>2026-02-03</t>
        </is>
      </c>
      <c r="C6" s="4" t="inlineStr">
        <is>
          <t>Noroccidental</t>
        </is>
      </c>
      <c r="D6" s="4" t="inlineStr">
        <is>
          <t>San Pedro Sula</t>
        </is>
      </c>
      <c r="E6" s="4" t="inlineStr">
        <is>
          <t>Carlos Meza</t>
        </is>
      </c>
      <c r="F6" s="4" t="inlineStr">
        <is>
          <t>Hardware</t>
        </is>
      </c>
      <c r="G6" s="4" t="inlineStr">
        <is>
          <t>Servidor Torre v10</t>
        </is>
      </c>
      <c r="H6" s="5" t="n">
        <v>1</v>
      </c>
      <c r="I6" s="6" t="n">
        <v>65000</v>
      </c>
      <c r="J6" s="6">
        <f>H6*I6</f>
        <v/>
      </c>
    </row>
    <row r="7">
      <c r="A7" s="7" t="inlineStr">
        <is>
          <t>V-1006</t>
        </is>
      </c>
      <c r="B7" s="8" t="inlineStr">
        <is>
          <t>2026-02-10</t>
        </is>
      </c>
      <c r="C7" s="9" t="inlineStr">
        <is>
          <t>Central</t>
        </is>
      </c>
      <c r="D7" s="9" t="inlineStr">
        <is>
          <t>Tegucigalpa</t>
        </is>
      </c>
      <c r="E7" s="9" t="inlineStr">
        <is>
          <t>Ana Pineda</t>
        </is>
      </c>
      <c r="F7" s="9" t="inlineStr">
        <is>
          <t>Software</t>
        </is>
      </c>
      <c r="G7" s="9" t="inlineStr">
        <is>
          <t>Licencia ERP 360</t>
        </is>
      </c>
      <c r="H7" s="10" t="n">
        <v>4</v>
      </c>
      <c r="I7" s="11" t="n">
        <v>15000</v>
      </c>
      <c r="J7" s="11">
        <f>H7*I7</f>
        <v/>
      </c>
    </row>
    <row r="8">
      <c r="A8" s="2" t="inlineStr">
        <is>
          <t>V-1007</t>
        </is>
      </c>
      <c r="B8" s="3" t="inlineStr">
        <is>
          <t>2026-02-15</t>
        </is>
      </c>
      <c r="C8" s="4" t="inlineStr">
        <is>
          <t>Oriental</t>
        </is>
      </c>
      <c r="D8" s="4" t="inlineStr">
        <is>
          <t>Danlí</t>
        </is>
      </c>
      <c r="E8" s="4" t="inlineStr">
        <is>
          <t>Luis Flores</t>
        </is>
      </c>
      <c r="F8" s="4" t="inlineStr">
        <is>
          <t>Consumibles</t>
        </is>
      </c>
      <c r="G8" s="4" t="inlineStr">
        <is>
          <t>Kit Mantenimiento</t>
        </is>
      </c>
      <c r="H8" s="5" t="n">
        <v>3</v>
      </c>
      <c r="I8" s="6" t="n">
        <v>4200</v>
      </c>
      <c r="J8" s="6">
        <f>H8*I8</f>
        <v/>
      </c>
    </row>
    <row r="9">
      <c r="A9" s="7" t="inlineStr">
        <is>
          <t>V-1008</t>
        </is>
      </c>
      <c r="B9" s="8" t="inlineStr">
        <is>
          <t>2026-02-20</t>
        </is>
      </c>
      <c r="C9" s="9" t="inlineStr">
        <is>
          <t>Noroccidental</t>
        </is>
      </c>
      <c r="D9" s="9" t="inlineStr">
        <is>
          <t>El Progreso</t>
        </is>
      </c>
      <c r="E9" s="9" t="inlineStr">
        <is>
          <t>Carlos Meza</t>
        </is>
      </c>
      <c r="F9" s="9" t="inlineStr">
        <is>
          <t>Hardware</t>
        </is>
      </c>
      <c r="G9" s="9" t="inlineStr">
        <is>
          <t>Impresora Térmica</t>
        </is>
      </c>
      <c r="H9" s="10" t="n">
        <v>6</v>
      </c>
      <c r="I9" s="11" t="n">
        <v>3500</v>
      </c>
      <c r="J9" s="11">
        <f>H9*I9</f>
        <v/>
      </c>
    </row>
    <row r="10">
      <c r="A10" s="2" t="inlineStr">
        <is>
          <t>V-1009</t>
        </is>
      </c>
      <c r="B10" s="3" t="inlineStr">
        <is>
          <t>2026-03-01</t>
        </is>
      </c>
      <c r="C10" s="4" t="inlineStr">
        <is>
          <t>Central</t>
        </is>
      </c>
      <c r="D10" s="4" t="inlineStr">
        <is>
          <t>Comayagua</t>
        </is>
      </c>
      <c r="E10" s="4" t="inlineStr">
        <is>
          <t>Ana Pineda</t>
        </is>
      </c>
      <c r="F10" s="4" t="inlineStr">
        <is>
          <t>Consumibles</t>
        </is>
      </c>
      <c r="G10" s="4" t="inlineStr">
        <is>
          <t>Toner Láser B/W</t>
        </is>
      </c>
      <c r="H10" s="5" t="n">
        <v>8</v>
      </c>
      <c r="I10" s="6" t="n">
        <v>1800</v>
      </c>
      <c r="J10" s="6">
        <f>H10*I10</f>
        <v/>
      </c>
    </row>
    <row r="11">
      <c r="A11" s="7" t="inlineStr">
        <is>
          <t>V-1010</t>
        </is>
      </c>
      <c r="B11" s="8" t="inlineStr">
        <is>
          <t>2026-03-05</t>
        </is>
      </c>
      <c r="C11" s="9" t="inlineStr">
        <is>
          <t>Noroccidental</t>
        </is>
      </c>
      <c r="D11" s="9" t="inlineStr">
        <is>
          <t>Puerto Cortés</t>
        </is>
      </c>
      <c r="E11" s="9" t="inlineStr">
        <is>
          <t>Carlos Meza</t>
        </is>
      </c>
      <c r="F11" s="9" t="inlineStr">
        <is>
          <t>Software</t>
        </is>
      </c>
      <c r="G11" s="9" t="inlineStr">
        <is>
          <t>Módulo POS Cloud</t>
        </is>
      </c>
      <c r="H11" s="10" t="n">
        <v>2</v>
      </c>
      <c r="I11" s="11" t="n">
        <v>8500</v>
      </c>
      <c r="J11" s="11">
        <f>H11*I11</f>
        <v/>
      </c>
    </row>
    <row r="12">
      <c r="A12" s="2" t="inlineStr">
        <is>
          <t>V-1011</t>
        </is>
      </c>
      <c r="B12" s="3" t="inlineStr">
        <is>
          <t>2026-03-12</t>
        </is>
      </c>
      <c r="C12" s="4" t="inlineStr">
        <is>
          <t>Litoral</t>
        </is>
      </c>
      <c r="D12" s="4" t="inlineStr">
        <is>
          <t>Tela</t>
        </is>
      </c>
      <c r="E12" s="4" t="inlineStr">
        <is>
          <t>Mario Duarte</t>
        </is>
      </c>
      <c r="F12" s="4" t="inlineStr">
        <is>
          <t>Hardware</t>
        </is>
      </c>
      <c r="G12" s="4" t="inlineStr">
        <is>
          <t>Laptop Empresarial</t>
        </is>
      </c>
      <c r="H12" s="5" t="n">
        <v>3</v>
      </c>
      <c r="I12" s="6" t="n">
        <v>22500</v>
      </c>
      <c r="J12" s="6">
        <f>H12*I12</f>
        <v/>
      </c>
    </row>
    <row r="13">
      <c r="A13" s="7" t="inlineStr">
        <is>
          <t>V-1012</t>
        </is>
      </c>
      <c r="B13" s="8" t="inlineStr">
        <is>
          <t>2026-03-18</t>
        </is>
      </c>
      <c r="C13" s="9" t="inlineStr">
        <is>
          <t>Sur</t>
        </is>
      </c>
      <c r="D13" s="9" t="inlineStr">
        <is>
          <t>Valle</t>
        </is>
      </c>
      <c r="E13" s="9" t="inlineStr">
        <is>
          <t>Sofía Reyes</t>
        </is>
      </c>
      <c r="F13" s="9" t="inlineStr">
        <is>
          <t>Consumibles</t>
        </is>
      </c>
      <c r="G13" s="9" t="inlineStr">
        <is>
          <t>Kit Mantenimiento</t>
        </is>
      </c>
      <c r="H13" s="10" t="n">
        <v>5</v>
      </c>
      <c r="I13" s="11" t="n">
        <v>4200</v>
      </c>
      <c r="J13" s="11">
        <f>H13*I13</f>
        <v/>
      </c>
    </row>
    <row r="14">
      <c r="A14" s="2" t="inlineStr">
        <is>
          <t>V-1013</t>
        </is>
      </c>
      <c r="B14" s="3" t="inlineStr">
        <is>
          <t>2026-04-02</t>
        </is>
      </c>
      <c r="C14" s="4" t="inlineStr">
        <is>
          <t>Noroccidental</t>
        </is>
      </c>
      <c r="D14" s="4" t="inlineStr">
        <is>
          <t>San Pedro Sula</t>
        </is>
      </c>
      <c r="E14" s="4" t="inlineStr">
        <is>
          <t>Carlos Meza</t>
        </is>
      </c>
      <c r="F14" s="4" t="inlineStr">
        <is>
          <t>Software</t>
        </is>
      </c>
      <c r="G14" s="4" t="inlineStr">
        <is>
          <t>Licencia ERP 360</t>
        </is>
      </c>
      <c r="H14" s="5" t="n">
        <v>3</v>
      </c>
      <c r="I14" s="6" t="n">
        <v>15000</v>
      </c>
      <c r="J14" s="6">
        <f>H14*I14</f>
        <v/>
      </c>
    </row>
    <row r="15">
      <c r="A15" s="7" t="inlineStr">
        <is>
          <t>V-1014</t>
        </is>
      </c>
      <c r="B15" s="8" t="inlineStr">
        <is>
          <t>2026-04-10</t>
        </is>
      </c>
      <c r="C15" s="9" t="inlineStr">
        <is>
          <t>Central</t>
        </is>
      </c>
      <c r="D15" s="9" t="inlineStr">
        <is>
          <t>Tegucigalpa</t>
        </is>
      </c>
      <c r="E15" s="9" t="inlineStr">
        <is>
          <t>Ana Pineda</t>
        </is>
      </c>
      <c r="F15" s="9" t="inlineStr">
        <is>
          <t>Hardware</t>
        </is>
      </c>
      <c r="G15" s="9" t="inlineStr">
        <is>
          <t>Servidor Torre v10</t>
        </is>
      </c>
      <c r="H15" s="10" t="n">
        <v>2</v>
      </c>
      <c r="I15" s="11" t="n">
        <v>65000</v>
      </c>
      <c r="J15" s="11">
        <f>H15*I15</f>
        <v/>
      </c>
    </row>
    <row r="16">
      <c r="A16" s="2" t="inlineStr">
        <is>
          <t>V-1015</t>
        </is>
      </c>
      <c r="B16" s="3" t="inlineStr">
        <is>
          <t>2026-04-15</t>
        </is>
      </c>
      <c r="C16" s="4" t="inlineStr">
        <is>
          <t>Oriental</t>
        </is>
      </c>
      <c r="D16" s="4" t="inlineStr">
        <is>
          <t>Juticalpa</t>
        </is>
      </c>
      <c r="E16" s="4" t="inlineStr">
        <is>
          <t>Luis Flores</t>
        </is>
      </c>
      <c r="F16" s="4" t="inlineStr">
        <is>
          <t>Software</t>
        </is>
      </c>
      <c r="G16" s="4" t="inlineStr">
        <is>
          <t>Módulo POS Cloud</t>
        </is>
      </c>
      <c r="H16" s="5" t="n">
        <v>2</v>
      </c>
      <c r="I16" s="6" t="n">
        <v>8500</v>
      </c>
      <c r="J16" s="6">
        <f>H16*I16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5" customWidth="1" min="3" max="3"/>
    <col width="35" customWidth="1" min="4" max="4"/>
  </cols>
  <sheetData>
    <row r="1" ht="35" customHeight="1">
      <c r="A1" s="12" t="inlineStr">
        <is>
          <t>GUÍA PRÁCTICA: EJERCICIOS DE TABLAS DINÁMICAS (PIVOT TABLES)</t>
        </is>
      </c>
    </row>
    <row r="3" ht="25" customHeight="1">
      <c r="A3" s="13" t="inlineStr">
        <is>
          <t>N° / Nombre del Ejercicio</t>
        </is>
      </c>
      <c r="B3" s="13" t="inlineStr">
        <is>
          <t>Objetivo Analítico</t>
        </is>
      </c>
      <c r="C3" s="13" t="inlineStr">
        <is>
          <t>Configuración en Tabla Dinámica</t>
        </is>
      </c>
      <c r="D3" s="13" t="inlineStr">
        <is>
          <t>Utilidad Gerencial y Estadística</t>
        </is>
      </c>
    </row>
    <row r="4" ht="55" customHeight="1">
      <c r="A4" s="14" t="inlineStr">
        <is>
          <t>Ejercicio 1: Concentrado Geográfico de Ingresos (Macro-análisis por Zona y Ciudad)</t>
        </is>
      </c>
      <c r="B4" s="14" t="inlineStr">
        <is>
          <t>Evaluar qué regiones geográficas aportan mayor liquidez y volumen a la empresa.</t>
        </is>
      </c>
      <c r="C4" s="14" t="inlineStr">
        <is>
          <t>Filas: Zona -&gt; Ciudad
Valores: Suma de Total_Venta_HNL, Promedio de Total_Venta_HNL
Filtros: Ninguno</t>
        </is>
      </c>
      <c r="D4" s="14" t="inlineStr">
        <is>
          <t>Identifica rápidamente los polos de desarrollo comercial y el ticket promedio por transacción por ciudad.</t>
        </is>
      </c>
    </row>
    <row r="5" ht="55" customHeight="1">
      <c r="A5" s="15" t="inlineStr">
        <is>
          <t>Ejercicio 2: Matriz de Desempeño Comercial (Vendedor vs Categoría)</t>
        </is>
      </c>
      <c r="B5" s="15" t="inlineStr">
        <is>
          <t>Medir la especialización y efectividad de la fuerza de ventas según la línea de productos.</t>
        </is>
      </c>
      <c r="C5" s="15" t="inlineStr">
        <is>
          <t>Filas: Vendedor
Columnas: Categoria
Valores: Suma de Total_Venta_HNL
Filtros: Zona</t>
        </is>
      </c>
      <c r="D5" s="15" t="inlineStr">
        <is>
          <t>Detecta fortalezas individuales (ej. dominio de Software vs. Hardware) y líneas con menor rotación por asesor.</t>
        </is>
      </c>
    </row>
    <row r="6" ht="55" customHeight="1">
      <c r="A6" s="14" t="inlineStr">
        <is>
          <t>Ejercicio 3: Comportamiento Temporal y Estacionalidad por Zona</t>
        </is>
      </c>
      <c r="B6" s="14" t="inlineStr">
        <is>
          <t>Monitorear la evolución mensual de la facturación en las distintas zonas de Honduras.</t>
        </is>
      </c>
      <c r="C6" s="14" t="inlineStr">
        <is>
          <t>Filas: Zona
Columnas: Fecha (Agrupada por Meses)
Valores: Suma de Total_Venta_HNL
Filtros: Ninguno</t>
        </is>
      </c>
      <c r="D6" s="14" t="inlineStr">
        <is>
          <t>Clave para pronósticos de demanda (forecasting) y detección de meses con caídas o picos de venta.</t>
        </is>
      </c>
    </row>
    <row r="7" ht="55" customHeight="1">
      <c r="A7" s="15" t="inlineStr">
        <is>
          <t>Ejercicio 4: Demanda de Productos por Región</t>
        </is>
      </c>
      <c r="B7" s="15" t="inlineStr">
        <is>
          <t>Determinar los productos estrella (Top Sellers) en unidades e ingresos por zona geográfica.</t>
        </is>
      </c>
      <c r="C7" s="15" t="inlineStr">
        <is>
          <t>Filas: Producto
Valores: Suma de Unidades, Suma de Total_Venta_HNL
Filtros/Segmentador: Zona</t>
        </is>
      </c>
      <c r="D7" s="15" t="inlineStr">
        <is>
          <t>Facilita la optimización de inventarios y logística, evitando desabastecimiento regional.</t>
        </is>
      </c>
    </row>
    <row r="8" ht="55" customHeight="1">
      <c r="A8" s="14" t="inlineStr">
        <is>
          <t>Ejercicio 5: Participación Relativa Porcentual (% del Total General)</t>
        </is>
      </c>
      <c r="B8" s="14" t="inlineStr">
        <is>
          <t>Calcular el peso porcentual de cada zona y ciudad sobre la facturación global.</t>
        </is>
      </c>
      <c r="C8" s="14" t="inlineStr">
        <is>
          <t>Filas: Zona -&gt; Ciudad
Valores: Suma de Total_Venta_HNL (Configurado como '% del total general')
Filtros: Ninguno</t>
        </is>
      </c>
      <c r="D8" s="14" t="inlineStr">
        <is>
          <t>Permite evaluar la concentración de mercado y la diversificación del riesgo comercial.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2026-10-27T02:51:31Z</dcterms:created>
  <dcterms:modified xmlns:dcterms="http://purl.org/dc/terms/" xmlns:xsi="http://www.w3.org/2001/XMLSchema-instance" xsi:type="dcterms:W3CDTF">2026-10-27T02:51:31Z</dcterms:modified>
</cp:coreProperties>
</file>